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Đại trà" sheetId="1" state="visible" r:id="rId1"/>
    <sheet name="Chất lượng cao" sheetId="2" state="visible" r:id="rId2"/>
    <sheet name="Tiên tiến"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2"/>
    </font>
    <font>
      <name val="Arial"/>
      <i val="1"/>
      <color rgb="00262626"/>
      <sz val="9.5"/>
    </font>
    <font>
      <name val="Arial"/>
      <b val="1"/>
      <color rgb="001F4E78"/>
      <sz val="9.5"/>
    </font>
    <font>
      <name val="Arial"/>
      <b val="1"/>
      <color rgb="001F4E78"/>
      <sz val="11"/>
    </font>
    <font>
      <name val="Arial"/>
      <b val="1"/>
      <color rgb="00FFFFFF"/>
      <sz val="10"/>
    </font>
    <font>
      <name val="Arial"/>
      <b val="1"/>
      <sz val="9"/>
    </font>
    <font>
      <name val="Arial"/>
      <sz val="9"/>
    </font>
    <font>
      <name val="Arial"/>
      <i val="1"/>
      <color rgb="001F4E78"/>
      <sz val="9"/>
    </font>
  </fonts>
  <fills count="7">
    <fill>
      <patternFill/>
    </fill>
    <fill>
      <patternFill patternType="gray125"/>
    </fill>
    <fill>
      <patternFill patternType="solid">
        <fgColor rgb="001F4E78"/>
        <bgColor rgb="001F4E78"/>
      </patternFill>
    </fill>
    <fill>
      <patternFill patternType="solid">
        <fgColor rgb="00E8F1F5"/>
        <bgColor rgb="00E8F1F5"/>
      </patternFill>
    </fill>
    <fill>
      <patternFill patternType="solid">
        <fgColor rgb="00203764"/>
        <bgColor rgb="00203764"/>
      </patternFill>
    </fill>
    <fill>
      <patternFill patternType="solid">
        <fgColor rgb="00F9FAFB"/>
        <bgColor rgb="00F9FAFB"/>
      </patternFill>
    </fill>
    <fill>
      <patternFill patternType="solid">
        <fgColor rgb="00F2F4F8"/>
        <bgColor rgb="00F2F4F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left" vertical="center"/>
    </xf>
    <xf numFmtId="0" fontId="3" fillId="0" borderId="0" applyAlignment="1" pivotButton="0" quotePrefix="0" xfId="0">
      <alignment horizontal="left" vertical="center"/>
    </xf>
    <xf numFmtId="0" fontId="4" fillId="3" borderId="0" applyAlignment="1" pivotButton="0" quotePrefix="0" xfId="0">
      <alignment horizontal="left" vertical="center" indent="1"/>
    </xf>
    <xf numFmtId="0" fontId="5" fillId="4" borderId="0" applyAlignment="1" pivotButton="0" quotePrefix="0" xfId="0">
      <alignment horizontal="center" vertical="center" wrapText="1"/>
    </xf>
    <xf numFmtId="0" fontId="7" fillId="0" borderId="1" applyAlignment="1" pivotButton="0" quotePrefix="0" xfId="0">
      <alignment horizontal="center" vertical="center"/>
    </xf>
    <xf numFmtId="0" fontId="6" fillId="0" borderId="1" applyAlignment="1" pivotButton="0" quotePrefix="0" xfId="0">
      <alignment horizontal="center" vertical="center"/>
    </xf>
    <xf numFmtId="3" fontId="7" fillId="0" borderId="1" applyAlignment="1" pivotButton="0" quotePrefix="0" xfId="0">
      <alignment horizontal="right" vertical="center"/>
    </xf>
    <xf numFmtId="164" fontId="6" fillId="0" borderId="1" applyAlignment="1" pivotButton="0" quotePrefix="0" xfId="0">
      <alignment horizontal="right" vertical="center"/>
    </xf>
    <xf numFmtId="0" fontId="7" fillId="5" borderId="1" applyAlignment="1" pivotButton="0" quotePrefix="0" xfId="0">
      <alignment horizontal="center" vertical="center"/>
    </xf>
    <xf numFmtId="0" fontId="6" fillId="5" borderId="1" applyAlignment="1" pivotButton="0" quotePrefix="0" xfId="0">
      <alignment horizontal="center" vertical="center"/>
    </xf>
    <xf numFmtId="3" fontId="7" fillId="5" borderId="1" applyAlignment="1" pivotButton="0" quotePrefix="0" xfId="0">
      <alignment horizontal="right" vertical="center"/>
    </xf>
    <xf numFmtId="164" fontId="6" fillId="5" borderId="1" applyAlignment="1" pivotButton="0" quotePrefix="0" xfId="0">
      <alignment horizontal="right" vertical="center"/>
    </xf>
    <xf numFmtId="0" fontId="8" fillId="6" borderId="0" applyAlignment="1" pivotButton="0" quotePrefix="0" xfId="0">
      <alignment horizontal="left" vertical="center"/>
    </xf>
    <xf numFmtId="4" fontId="6" fillId="5" borderId="1" applyAlignment="1" pivotButton="0" quotePrefix="0" xfId="0">
      <alignment horizontal="right" vertical="center"/>
    </xf>
    <xf numFmtId="164" fontId="7" fillId="5" borderId="1" applyAlignment="1" pivotButton="0" quotePrefix="0" xfId="0">
      <alignment horizontal="right" vertical="center"/>
    </xf>
    <xf numFmtId="4" fontId="6" fillId="0" borderId="1" applyAlignment="1" pivotButton="0" quotePrefix="0" xfId="0">
      <alignment horizontal="right" vertical="center"/>
    </xf>
    <xf numFmtId="164" fontId="7" fillId="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So sánh Cơ cấu Xếp loại Điểm Tốt nghiệp (Khóa K20, K21, K22)</a:t>
            </a:r>
          </a:p>
        </rich>
      </tx>
    </title>
    <plotArea>
      <barChart>
        <barDir val="col"/>
        <grouping val="percentStacked"/>
        <ser>
          <idx val="0"/>
          <order val="0"/>
          <tx>
            <strRef>
              <f>'Đại trà'!E13</f>
            </strRef>
          </tx>
          <spPr>
            <a:ln>
              <a:prstDash val="solid"/>
            </a:ln>
          </spPr>
          <cat>
            <numRef>
              <f>'Đại trà'!$B$14:$B$16</f>
            </numRef>
          </cat>
          <val>
            <numRef>
              <f>'Đại trà'!$E$14:$E$16</f>
            </numRef>
          </val>
        </ser>
        <ser>
          <idx val="1"/>
          <order val="1"/>
          <tx>
            <strRef>
              <f>'Đại trà'!F13</f>
            </strRef>
          </tx>
          <spPr>
            <a:ln>
              <a:prstDash val="solid"/>
            </a:ln>
          </spPr>
          <cat>
            <numRef>
              <f>'Đại trà'!$B$14:$B$16</f>
            </numRef>
          </cat>
          <val>
            <numRef>
              <f>'Đại trà'!$F$14:$F$16</f>
            </numRef>
          </val>
        </ser>
        <ser>
          <idx val="2"/>
          <order val="2"/>
          <tx>
            <strRef>
              <f>'Đại trà'!G13</f>
            </strRef>
          </tx>
          <spPr>
            <a:ln>
              <a:prstDash val="solid"/>
            </a:ln>
          </spPr>
          <cat>
            <numRef>
              <f>'Đại trà'!$B$14:$B$16</f>
            </numRef>
          </cat>
          <val>
            <numRef>
              <f>'Đại trà'!$G$14:$G$16</f>
            </numRef>
          </val>
        </ser>
        <ser>
          <idx val="3"/>
          <order val="3"/>
          <tx>
            <strRef>
              <f>'Đại trà'!H13</f>
            </strRef>
          </tx>
          <spPr>
            <a:ln>
              <a:prstDash val="solid"/>
            </a:ln>
          </spPr>
          <cat>
            <numRef>
              <f>'Đại trà'!$B$14:$B$16</f>
            </numRef>
          </cat>
          <val>
            <numRef>
              <f>'Đại trà'!$H$14:$H$16</f>
            </numRef>
          </val>
        </ser>
        <ser>
          <idx val="4"/>
          <order val="4"/>
          <tx>
            <strRef>
              <f>'Đại trà'!I13</f>
            </strRef>
          </tx>
          <spPr>
            <a:ln>
              <a:prstDash val="solid"/>
            </a:ln>
          </spPr>
          <cat>
            <numRef>
              <f>'Đại trà'!$B$14:$B$16</f>
            </numRef>
          </cat>
          <val>
            <numRef>
              <f>'Đại trà'!$I$14:$I$16</f>
            </numRef>
          </val>
        </ser>
        <ser>
          <idx val="5"/>
          <order val="5"/>
          <tx>
            <strRef>
              <f>'Đại trà'!J13</f>
            </strRef>
          </tx>
          <spPr>
            <a:ln>
              <a:prstDash val="solid"/>
            </a:ln>
          </spPr>
          <cat>
            <numRef>
              <f>'Đại trà'!$B$14:$B$16</f>
            </numRef>
          </cat>
          <val>
            <numRef>
              <f>'Đại trà'!$J$14:$J$16</f>
            </numRef>
          </val>
        </ser>
        <gapWidth val="150"/>
        <overlap val="100"/>
        <axId val="10"/>
        <axId val="100"/>
      </barChart>
      <catAx>
        <axId val="10"/>
        <scaling>
          <orientation val="minMax"/>
        </scaling>
        <axPos val="l"/>
        <title>
          <tx>
            <rich>
              <a:bodyPr/>
              <a:p>
                <a:pPr>
                  <a:defRPr/>
                </a:pPr>
                <a:r>
                  <a:t>Khóa tốt nghiệp</a:t>
                </a:r>
              </a:p>
            </rich>
          </tx>
        </title>
        <majorTickMark val="none"/>
        <minorTickMark val="none"/>
        <crossAx val="100"/>
        <lblOffset val="100"/>
      </catAx>
      <valAx>
        <axId val="100"/>
        <scaling>
          <orientation val="minMax"/>
        </scaling>
        <axPos val="l"/>
        <majorGridlines/>
        <title>
          <tx>
            <rich>
              <a:bodyPr/>
              <a:p>
                <a:pPr>
                  <a:defRPr/>
                </a:pPr>
                <a:r>
                  <a:t>Tỷ lệ sinh viên tốt nghiệp (%)</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So sánh Cơ cấu Xếp loại Điểm Tốt nghiệp (Khóa K20, K21, K22)</a:t>
            </a:r>
          </a:p>
        </rich>
      </tx>
    </title>
    <plotArea>
      <barChart>
        <barDir val="col"/>
        <grouping val="percentStacked"/>
        <ser>
          <idx val="0"/>
          <order val="0"/>
          <tx>
            <strRef>
              <f>'Chất lượng cao'!E13</f>
            </strRef>
          </tx>
          <spPr>
            <a:ln>
              <a:prstDash val="solid"/>
            </a:ln>
          </spPr>
          <cat>
            <numRef>
              <f>'Chất lượng cao'!$B$14:$B$16</f>
            </numRef>
          </cat>
          <val>
            <numRef>
              <f>'Chất lượng cao'!$E$14:$E$16</f>
            </numRef>
          </val>
        </ser>
        <ser>
          <idx val="1"/>
          <order val="1"/>
          <tx>
            <strRef>
              <f>'Chất lượng cao'!F13</f>
            </strRef>
          </tx>
          <spPr>
            <a:ln>
              <a:prstDash val="solid"/>
            </a:ln>
          </spPr>
          <cat>
            <numRef>
              <f>'Chất lượng cao'!$B$14:$B$16</f>
            </numRef>
          </cat>
          <val>
            <numRef>
              <f>'Chất lượng cao'!$F$14:$F$16</f>
            </numRef>
          </val>
        </ser>
        <ser>
          <idx val="2"/>
          <order val="2"/>
          <tx>
            <strRef>
              <f>'Chất lượng cao'!G13</f>
            </strRef>
          </tx>
          <spPr>
            <a:ln>
              <a:prstDash val="solid"/>
            </a:ln>
          </spPr>
          <cat>
            <numRef>
              <f>'Chất lượng cao'!$B$14:$B$16</f>
            </numRef>
          </cat>
          <val>
            <numRef>
              <f>'Chất lượng cao'!$G$14:$G$16</f>
            </numRef>
          </val>
        </ser>
        <ser>
          <idx val="3"/>
          <order val="3"/>
          <tx>
            <strRef>
              <f>'Chất lượng cao'!H13</f>
            </strRef>
          </tx>
          <spPr>
            <a:ln>
              <a:prstDash val="solid"/>
            </a:ln>
          </spPr>
          <cat>
            <numRef>
              <f>'Chất lượng cao'!$B$14:$B$16</f>
            </numRef>
          </cat>
          <val>
            <numRef>
              <f>'Chất lượng cao'!$H$14:$H$16</f>
            </numRef>
          </val>
        </ser>
        <ser>
          <idx val="4"/>
          <order val="4"/>
          <tx>
            <strRef>
              <f>'Chất lượng cao'!I13</f>
            </strRef>
          </tx>
          <spPr>
            <a:ln>
              <a:prstDash val="solid"/>
            </a:ln>
          </spPr>
          <cat>
            <numRef>
              <f>'Chất lượng cao'!$B$14:$B$16</f>
            </numRef>
          </cat>
          <val>
            <numRef>
              <f>'Chất lượng cao'!$I$14:$I$16</f>
            </numRef>
          </val>
        </ser>
        <ser>
          <idx val="5"/>
          <order val="5"/>
          <tx>
            <strRef>
              <f>'Chất lượng cao'!J13</f>
            </strRef>
          </tx>
          <spPr>
            <a:ln>
              <a:prstDash val="solid"/>
            </a:ln>
          </spPr>
          <cat>
            <numRef>
              <f>'Chất lượng cao'!$B$14:$B$16</f>
            </numRef>
          </cat>
          <val>
            <numRef>
              <f>'Chất lượng cao'!$J$14:$J$16</f>
            </numRef>
          </val>
        </ser>
        <gapWidth val="150"/>
        <overlap val="100"/>
        <axId val="10"/>
        <axId val="100"/>
      </barChart>
      <catAx>
        <axId val="10"/>
        <scaling>
          <orientation val="minMax"/>
        </scaling>
        <axPos val="l"/>
        <title>
          <tx>
            <rich>
              <a:bodyPr/>
              <a:p>
                <a:pPr>
                  <a:defRPr/>
                </a:pPr>
                <a:r>
                  <a:t>Khóa tốt nghiệp</a:t>
                </a:r>
              </a:p>
            </rich>
          </tx>
        </title>
        <majorTickMark val="none"/>
        <minorTickMark val="none"/>
        <crossAx val="100"/>
        <lblOffset val="100"/>
      </catAx>
      <valAx>
        <axId val="100"/>
        <scaling>
          <orientation val="minMax"/>
        </scaling>
        <axPos val="l"/>
        <majorGridlines/>
        <title>
          <tx>
            <rich>
              <a:bodyPr/>
              <a:p>
                <a:pPr>
                  <a:defRPr/>
                </a:pPr>
                <a:r>
                  <a:t>Tỷ lệ sinh viên tốt nghiệp (%)</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So sánh Cơ cấu Xếp loại Điểm Tốt nghiệp (Khóa K20, K21, K22)</a:t>
            </a:r>
          </a:p>
        </rich>
      </tx>
    </title>
    <plotArea>
      <barChart>
        <barDir val="col"/>
        <grouping val="percentStacked"/>
        <ser>
          <idx val="0"/>
          <order val="0"/>
          <tx>
            <strRef>
              <f>'Tiên tiến'!E13</f>
            </strRef>
          </tx>
          <spPr>
            <a:ln>
              <a:prstDash val="solid"/>
            </a:ln>
          </spPr>
          <cat>
            <numRef>
              <f>'Tiên tiến'!$B$14:$B$16</f>
            </numRef>
          </cat>
          <val>
            <numRef>
              <f>'Tiên tiến'!$E$14:$E$16</f>
            </numRef>
          </val>
        </ser>
        <ser>
          <idx val="1"/>
          <order val="1"/>
          <tx>
            <strRef>
              <f>'Tiên tiến'!F13</f>
            </strRef>
          </tx>
          <spPr>
            <a:ln>
              <a:prstDash val="solid"/>
            </a:ln>
          </spPr>
          <cat>
            <numRef>
              <f>'Tiên tiến'!$B$14:$B$16</f>
            </numRef>
          </cat>
          <val>
            <numRef>
              <f>'Tiên tiến'!$F$14:$F$16</f>
            </numRef>
          </val>
        </ser>
        <ser>
          <idx val="2"/>
          <order val="2"/>
          <tx>
            <strRef>
              <f>'Tiên tiến'!G13</f>
            </strRef>
          </tx>
          <spPr>
            <a:ln>
              <a:prstDash val="solid"/>
            </a:ln>
          </spPr>
          <cat>
            <numRef>
              <f>'Tiên tiến'!$B$14:$B$16</f>
            </numRef>
          </cat>
          <val>
            <numRef>
              <f>'Tiên tiến'!$G$14:$G$16</f>
            </numRef>
          </val>
        </ser>
        <ser>
          <idx val="3"/>
          <order val="3"/>
          <tx>
            <strRef>
              <f>'Tiên tiến'!H13</f>
            </strRef>
          </tx>
          <spPr>
            <a:ln>
              <a:prstDash val="solid"/>
            </a:ln>
          </spPr>
          <cat>
            <numRef>
              <f>'Tiên tiến'!$B$14:$B$16</f>
            </numRef>
          </cat>
          <val>
            <numRef>
              <f>'Tiên tiến'!$H$14:$H$16</f>
            </numRef>
          </val>
        </ser>
        <ser>
          <idx val="4"/>
          <order val="4"/>
          <tx>
            <strRef>
              <f>'Tiên tiến'!I13</f>
            </strRef>
          </tx>
          <spPr>
            <a:ln>
              <a:prstDash val="solid"/>
            </a:ln>
          </spPr>
          <cat>
            <numRef>
              <f>'Tiên tiến'!$B$14:$B$16</f>
            </numRef>
          </cat>
          <val>
            <numRef>
              <f>'Tiên tiến'!$I$14:$I$16</f>
            </numRef>
          </val>
        </ser>
        <ser>
          <idx val="5"/>
          <order val="5"/>
          <tx>
            <strRef>
              <f>'Tiên tiến'!J13</f>
            </strRef>
          </tx>
          <spPr>
            <a:ln>
              <a:prstDash val="solid"/>
            </a:ln>
          </spPr>
          <cat>
            <numRef>
              <f>'Tiên tiến'!$B$14:$B$16</f>
            </numRef>
          </cat>
          <val>
            <numRef>
              <f>'Tiên tiến'!$J$14:$J$16</f>
            </numRef>
          </val>
        </ser>
        <gapWidth val="150"/>
        <overlap val="100"/>
        <axId val="10"/>
        <axId val="100"/>
      </barChart>
      <catAx>
        <axId val="10"/>
        <scaling>
          <orientation val="minMax"/>
        </scaling>
        <axPos val="l"/>
        <title>
          <tx>
            <rich>
              <a:bodyPr/>
              <a:p>
                <a:pPr>
                  <a:defRPr/>
                </a:pPr>
                <a:r>
                  <a:t>Khóa tốt nghiệp</a:t>
                </a:r>
              </a:p>
            </rich>
          </tx>
        </title>
        <majorTickMark val="none"/>
        <minorTickMark val="none"/>
        <crossAx val="100"/>
        <lblOffset val="100"/>
      </catAx>
      <valAx>
        <axId val="100"/>
        <scaling>
          <orientation val="minMax"/>
        </scaling>
        <axPos val="l"/>
        <majorGridlines/>
        <title>
          <tx>
            <rich>
              <a:bodyPr/>
              <a:p>
                <a:pPr>
                  <a:defRPr/>
                </a:pPr>
                <a:r>
                  <a:t>Tỷ lệ sinh viên tốt nghiệp (%)</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7920000" cy="3888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7920000" cy="3888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7920000" cy="3888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6" customWidth="1" min="1" max="1"/>
    <col width="16" customWidth="1" min="2" max="2"/>
    <col width="16" customWidth="1" min="3" max="3"/>
    <col width="15" customWidth="1" min="4" max="4"/>
    <col width="16" customWidth="1" min="5" max="5"/>
    <col width="16" customWidth="1" min="6" max="6"/>
    <col width="16" customWidth="1" min="7" max="7"/>
    <col width="16" customWidth="1" min="8" max="8"/>
    <col width="16" customWidth="1" min="9" max="9"/>
    <col width="16" customWidth="1" min="10" max="10"/>
  </cols>
  <sheetData>
    <row r="1" ht="32" customHeight="1">
      <c r="A1" s="1" t="inlineStr">
        <is>
          <t>BÁO CÁO HỌC VỤ TỔNG QUAN DỮ LIỆU MÔ PHỎNG - CHƯƠNG TRÌNH CHUẨN (ĐẠI TRÀ)</t>
        </is>
      </c>
    </row>
    <row r="2" ht="24" customHeight="1">
      <c r="A2" s="2" t="inlineStr">
        <is>
          <t>Bối cảnh: Báo cáo tổng quan phân phối dữ liệu học vụ mô phỏng của sinh viên Hệ Đại trà tại ĐHBK, phục vụ nghiên cứu và huấn luyện mô hình Cảnh báo học vụ sớm (EWS).</t>
        </is>
      </c>
    </row>
    <row r="3" ht="22" customHeight="1">
      <c r="A3" s="3" t="inlineStr">
        <is>
          <t>BÁO CÁO HỌC VỤ: TIẾN ĐỘ TỐT NGHIỆP, XẾP LOẠI ĐIỂM &amp; TỶ LỆ BỎ HỌC (K20 - K26) | Quy mô: 6,703 SV (60.7% toàn trường)</t>
        </is>
      </c>
    </row>
    <row r="5" ht="26" customHeight="1">
      <c r="A5" s="4" t="inlineStr">
        <is>
          <t>I. BẢNG 1: TỶ LỆ TỐT NGHIỆP ĐÚNG HẠN (KHÓA K20, K21, K22)</t>
        </is>
      </c>
    </row>
    <row r="6" ht="28" customHeight="1">
      <c r="A6" s="5" t="inlineStr">
        <is>
          <t>STT</t>
        </is>
      </c>
      <c r="B6" s="5" t="inlineStr">
        <is>
          <t>Khóa học</t>
        </is>
      </c>
      <c r="C6" s="5" t="inlineStr">
        <is>
          <t>Sĩ số tuyển sinh (SV)</t>
        </is>
      </c>
      <c r="D6" s="5" t="inlineStr">
        <is>
          <t>Tốt nghiệp đúng hạn (4.0 năm)</t>
        </is>
      </c>
      <c r="E6" s="5" t="inlineStr">
        <is>
          <t>Tỷ lệ đúng hạn (%)</t>
        </is>
      </c>
    </row>
    <row r="7" ht="22" customHeight="1">
      <c r="A7" s="6" t="n">
        <v>1</v>
      </c>
      <c r="B7" s="7" t="inlineStr">
        <is>
          <t>Khóa K20</t>
        </is>
      </c>
      <c r="C7" s="8" t="n">
        <v>894</v>
      </c>
      <c r="D7" s="8" t="n">
        <v>506</v>
      </c>
      <c r="E7" s="9" t="n">
        <v>0.5659955257270693</v>
      </c>
    </row>
    <row r="8" ht="22" customHeight="1">
      <c r="A8" s="10" t="n">
        <v>2</v>
      </c>
      <c r="B8" s="11" t="inlineStr">
        <is>
          <t>Khóa K21</t>
        </is>
      </c>
      <c r="C8" s="12" t="n">
        <v>912</v>
      </c>
      <c r="D8" s="12" t="n">
        <v>482</v>
      </c>
      <c r="E8" s="13" t="n">
        <v>0.5285087719298246</v>
      </c>
    </row>
    <row r="9" ht="22" customHeight="1">
      <c r="A9" s="6" t="n">
        <v>3</v>
      </c>
      <c r="B9" s="7" t="inlineStr">
        <is>
          <t>Khóa K22</t>
        </is>
      </c>
      <c r="C9" s="8" t="n">
        <v>932</v>
      </c>
      <c r="D9" s="8" t="n">
        <v>514</v>
      </c>
      <c r="E9" s="9" t="n">
        <v>0.5515021459227468</v>
      </c>
    </row>
    <row r="10" ht="24" customHeight="1">
      <c r="A10" s="14" t="inlineStr">
        <is>
          <t>💡 Cách tính: Tỷ lệ tốt nghiệp đúng hạn = Số sinh viên tốt nghiệp tại kỳ thứ 8 / Tổng sĩ số sinh viên của khóa.</t>
        </is>
      </c>
    </row>
    <row r="12" ht="26" customHeight="1">
      <c r="A12" s="4" t="inlineStr">
        <is>
          <t>II. BẢNG 2: TỶ LỆ ĐIỂM &amp; XẾP LOẠI CỦA SINH VIÊN ĐÃ TỐT NGHIỆP (KHÓA K20, K21, K22)</t>
        </is>
      </c>
    </row>
    <row r="13" ht="28" customHeight="1">
      <c r="A13" s="5" t="inlineStr">
        <is>
          <t>STT</t>
        </is>
      </c>
      <c r="B13" s="5" t="inlineStr">
        <is>
          <t>Khóa học</t>
        </is>
      </c>
      <c r="C13" s="5" t="inlineStr">
        <is>
          <t>GPA TB (Hệ 10)</t>
        </is>
      </c>
      <c r="D13" s="5" t="inlineStr">
        <is>
          <t>CPA TB (Hệ 4)</t>
        </is>
      </c>
      <c r="E13" s="5" t="inlineStr">
        <is>
          <t>Xuất sắc (&gt;= 3.6)</t>
        </is>
      </c>
      <c r="F13" s="5" t="inlineStr">
        <is>
          <t>Giỏi (3.2 - 3.59)</t>
        </is>
      </c>
      <c r="G13" s="5" t="inlineStr">
        <is>
          <t>Khá (2.8 - 3.19)</t>
        </is>
      </c>
      <c r="H13" s="5" t="inlineStr">
        <is>
          <t>TB Khá (2.4 - 2.79)</t>
        </is>
      </c>
      <c r="I13" s="5" t="inlineStr">
        <is>
          <t>Trung bình (2.0 - 2.39)</t>
        </is>
      </c>
      <c r="J13" s="5" t="inlineStr">
        <is>
          <t>Dưới TB (&lt; 2.0)</t>
        </is>
      </c>
    </row>
    <row r="14" ht="22" customHeight="1">
      <c r="A14" s="10" t="n">
        <v>1</v>
      </c>
      <c r="B14" s="11" t="inlineStr">
        <is>
          <t>Khóa K20</t>
        </is>
      </c>
      <c r="C14" s="15" t="n">
        <v>6.945755988792428</v>
      </c>
      <c r="D14" s="15" t="n">
        <v>2.670855254832579</v>
      </c>
      <c r="E14" s="16" t="n">
        <v>0.049338146811071</v>
      </c>
      <c r="F14" s="16" t="n">
        <v>0.1660649819494585</v>
      </c>
      <c r="G14" s="16" t="n">
        <v>0.2093862815884477</v>
      </c>
      <c r="H14" s="16" t="n">
        <v>0.1335740072202166</v>
      </c>
      <c r="I14" s="16" t="n">
        <v>0.4416365824308063</v>
      </c>
      <c r="J14" s="16" t="n">
        <v>0</v>
      </c>
    </row>
    <row r="15" ht="22" customHeight="1">
      <c r="A15" s="6" t="n">
        <v>2</v>
      </c>
      <c r="B15" s="7" t="inlineStr">
        <is>
          <t>Khóa K21</t>
        </is>
      </c>
      <c r="C15" s="17" t="n">
        <v>6.87467448730367</v>
      </c>
      <c r="D15" s="17" t="n">
        <v>2.626924075896763</v>
      </c>
      <c r="E15" s="18" t="n">
        <v>0.04724409448818898</v>
      </c>
      <c r="F15" s="18" t="n">
        <v>0.08530183727034121</v>
      </c>
      <c r="G15" s="18" t="n">
        <v>0.3228346456692913</v>
      </c>
      <c r="H15" s="18" t="n">
        <v>0.03805774278215223</v>
      </c>
      <c r="I15" s="18" t="n">
        <v>0.5065616797900262</v>
      </c>
      <c r="J15" s="18" t="n">
        <v>0</v>
      </c>
    </row>
    <row r="16" ht="22" customHeight="1">
      <c r="A16" s="10" t="n">
        <v>3</v>
      </c>
      <c r="B16" s="11" t="inlineStr">
        <is>
          <t>Khóa K22</t>
        </is>
      </c>
      <c r="C16" s="15" t="n">
        <v>7.150501072563236</v>
      </c>
      <c r="D16" s="15" t="n">
        <v>2.807529907570962</v>
      </c>
      <c r="E16" s="16" t="n">
        <v>0.05255023183925812</v>
      </c>
      <c r="F16" s="16" t="n">
        <v>0.3137557959814529</v>
      </c>
      <c r="G16" s="16" t="n">
        <v>0.08964451313755796</v>
      </c>
      <c r="H16" s="16" t="n">
        <v>0.2519319938176198</v>
      </c>
      <c r="I16" s="16" t="n">
        <v>0.2921174652241113</v>
      </c>
      <c r="J16" s="16" t="n">
        <v>0</v>
      </c>
    </row>
    <row r="17" ht="24" customHeight="1">
      <c r="A17" s="14" t="inlineStr">
        <is>
          <t>💡 Cách tính: GPA 10 = Điểm TB tích lũy hệ 10; CPA 4 = Điểm TB tích lũy thang 4; Tỷ lệ xếp loại = Số SV tốt nghiệp theo từng mức điểm CPA / Tổng số SV tốt nghiệp của khóa.</t>
        </is>
      </c>
    </row>
    <row r="44" ht="26" customHeight="1">
      <c r="A44" s="4" t="inlineStr">
        <is>
          <t>III. BẢNG 3: TỶ LỆ BỎ HỌC TỪNG KHÓA (KHÓA K20 ĐẾN K26)</t>
        </is>
      </c>
    </row>
    <row r="45" ht="28" customHeight="1">
      <c r="A45" s="5" t="inlineStr">
        <is>
          <t>STT</t>
        </is>
      </c>
      <c r="B45" s="5" t="inlineStr">
        <is>
          <t>Khóa học</t>
        </is>
      </c>
      <c r="C45" s="5" t="inlineStr">
        <is>
          <t>Sĩ số tuyển sinh (SV)</t>
        </is>
      </c>
      <c r="D45" s="5" t="inlineStr">
        <is>
          <t>Sinh viên bỏ học (SV)</t>
        </is>
      </c>
      <c r="E45" s="5" t="inlineStr">
        <is>
          <t>Tỷ lệ bỏ học (%)</t>
        </is>
      </c>
    </row>
    <row r="46" ht="22" customHeight="1">
      <c r="A46" s="10" t="n">
        <v>1</v>
      </c>
      <c r="B46" s="11" t="inlineStr">
        <is>
          <t>Khóa K20</t>
        </is>
      </c>
      <c r="C46" s="12" t="n">
        <v>894</v>
      </c>
      <c r="D46" s="12" t="n">
        <v>63</v>
      </c>
      <c r="E46" s="13" t="n">
        <v>0.07046979865771812</v>
      </c>
    </row>
    <row r="47" ht="22" customHeight="1">
      <c r="A47" s="6" t="n">
        <v>2</v>
      </c>
      <c r="B47" s="7" t="inlineStr">
        <is>
          <t>Khóa K21</t>
        </is>
      </c>
      <c r="C47" s="8" t="n">
        <v>912</v>
      </c>
      <c r="D47" s="8" t="n">
        <v>10</v>
      </c>
      <c r="E47" s="9" t="n">
        <v>0.01096491228070175</v>
      </c>
    </row>
    <row r="48" ht="22" customHeight="1">
      <c r="A48" s="10" t="n">
        <v>3</v>
      </c>
      <c r="B48" s="11" t="inlineStr">
        <is>
          <t>Khóa K22</t>
        </is>
      </c>
      <c r="C48" s="12" t="n">
        <v>932</v>
      </c>
      <c r="D48" s="12" t="n">
        <v>10</v>
      </c>
      <c r="E48" s="13" t="n">
        <v>0.01072961373390558</v>
      </c>
    </row>
    <row r="49" ht="22" customHeight="1">
      <c r="A49" s="6" t="n">
        <v>4</v>
      </c>
      <c r="B49" s="7" t="inlineStr">
        <is>
          <t>Khóa K23</t>
        </is>
      </c>
      <c r="C49" s="8" t="n">
        <v>986</v>
      </c>
      <c r="D49" s="8" t="n">
        <v>11</v>
      </c>
      <c r="E49" s="9" t="n">
        <v>0.01115618661257606</v>
      </c>
    </row>
    <row r="50" ht="22" customHeight="1">
      <c r="A50" s="10" t="n">
        <v>5</v>
      </c>
      <c r="B50" s="11" t="inlineStr">
        <is>
          <t>Khóa K24</t>
        </is>
      </c>
      <c r="C50" s="12" t="n">
        <v>960</v>
      </c>
      <c r="D50" s="12" t="n">
        <v>15</v>
      </c>
      <c r="E50" s="13" t="n">
        <v>0.015625</v>
      </c>
    </row>
    <row r="51" ht="22" customHeight="1">
      <c r="A51" s="6" t="n">
        <v>6</v>
      </c>
      <c r="B51" s="7" t="inlineStr">
        <is>
          <t>Khóa K25</t>
        </is>
      </c>
      <c r="C51" s="8" t="n">
        <v>978</v>
      </c>
      <c r="D51" s="8" t="n">
        <v>14</v>
      </c>
      <c r="E51" s="9" t="n">
        <v>0.01431492842535787</v>
      </c>
    </row>
    <row r="52" ht="22" customHeight="1">
      <c r="A52" s="10" t="n">
        <v>7</v>
      </c>
      <c r="B52" s="11" t="inlineStr">
        <is>
          <t>Khóa K26</t>
        </is>
      </c>
      <c r="C52" s="12" t="n">
        <v>1041</v>
      </c>
      <c r="D52" s="12" t="n">
        <v>16</v>
      </c>
      <c r="E52" s="13" t="n">
        <v>0.01536983669548511</v>
      </c>
    </row>
    <row r="53" ht="24" customHeight="1">
      <c r="A53" s="14" t="inlineStr">
        <is>
          <t>💡 Cách tính: Tỷ lệ bỏ học = Số sinh viên bỏ học (dropout = True) / Tổng sĩ số sinh viên của khóa.</t>
        </is>
      </c>
    </row>
  </sheetData>
  <mergeCells count="9">
    <mergeCell ref="A53:E53"/>
    <mergeCell ref="A1:J1"/>
    <mergeCell ref="A17:J17"/>
    <mergeCell ref="A10:E10"/>
    <mergeCell ref="A3:J3"/>
    <mergeCell ref="A12:J12"/>
    <mergeCell ref="A5:E5"/>
    <mergeCell ref="A2:J2"/>
    <mergeCell ref="A44:E4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6" customWidth="1" min="1" max="1"/>
    <col width="16" customWidth="1" min="2" max="2"/>
    <col width="16" customWidth="1" min="3" max="3"/>
    <col width="15" customWidth="1" min="4" max="4"/>
    <col width="16" customWidth="1" min="5" max="5"/>
    <col width="16" customWidth="1" min="6" max="6"/>
    <col width="16" customWidth="1" min="7" max="7"/>
    <col width="16" customWidth="1" min="8" max="8"/>
    <col width="16" customWidth="1" min="9" max="9"/>
    <col width="16" customWidth="1" min="10" max="10"/>
  </cols>
  <sheetData>
    <row r="1" ht="32" customHeight="1">
      <c r="A1" s="1" t="inlineStr">
        <is>
          <t>BÁO CÁO HỌC VỤ TỔNG QUAN DỮ LIỆU MÔ PHỎNG - CHƯƠNG TRÌNH CHẤT LƯỢNG CAO (CLC)</t>
        </is>
      </c>
    </row>
    <row r="2" ht="24" customHeight="1">
      <c r="A2" s="2" t="inlineStr">
        <is>
          <t>Bối cảnh: Báo cáo tổng quan phân phối dữ liệu học vụ mô phỏng của sinh viên Hệ Chất lượng cao tại ĐHBK, phục vụ nghiên cứu và huấn luyện mô hình Cảnh báo học vụ sớm (EWS).</t>
        </is>
      </c>
    </row>
    <row r="3" ht="22" customHeight="1">
      <c r="A3" s="3" t="inlineStr">
        <is>
          <t>BÁO CÁO HỌC VỤ: TIẾN ĐỘ TỐT NGHIỆP, XẾP LOẠI ĐIỂM &amp; TỶ LỆ BỎ HỌC (K20 - K26) | Quy mô: 3,277 SV (29.7% toàn trường)</t>
        </is>
      </c>
    </row>
    <row r="5" ht="26" customHeight="1">
      <c r="A5" s="4" t="inlineStr">
        <is>
          <t>I. BẢNG 1: TỶ LỆ TỐT NGHIỆP ĐÚNG HẠN (KHÓA K20, K21, K22)</t>
        </is>
      </c>
    </row>
    <row r="6" ht="28" customHeight="1">
      <c r="A6" s="5" t="inlineStr">
        <is>
          <t>STT</t>
        </is>
      </c>
      <c r="B6" s="5" t="inlineStr">
        <is>
          <t>Khóa học</t>
        </is>
      </c>
      <c r="C6" s="5" t="inlineStr">
        <is>
          <t>Sĩ số tuyển sinh (SV)</t>
        </is>
      </c>
      <c r="D6" s="5" t="inlineStr">
        <is>
          <t>Tốt nghiệp đúng hạn (4.0 năm)</t>
        </is>
      </c>
      <c r="E6" s="5" t="inlineStr">
        <is>
          <t>Tỷ lệ đúng hạn (%)</t>
        </is>
      </c>
    </row>
    <row r="7" ht="22" customHeight="1">
      <c r="A7" s="6" t="n">
        <v>1</v>
      </c>
      <c r="B7" s="7" t="inlineStr">
        <is>
          <t>Khóa K20</t>
        </is>
      </c>
      <c r="C7" s="8" t="n">
        <v>466</v>
      </c>
      <c r="D7" s="8" t="n">
        <v>403</v>
      </c>
      <c r="E7" s="9" t="n">
        <v>0.8648068669527897</v>
      </c>
    </row>
    <row r="8" ht="22" customHeight="1">
      <c r="A8" s="10" t="n">
        <v>2</v>
      </c>
      <c r="B8" s="11" t="inlineStr">
        <is>
          <t>Khóa K21</t>
        </is>
      </c>
      <c r="C8" s="12" t="n">
        <v>464</v>
      </c>
      <c r="D8" s="12" t="n">
        <v>403</v>
      </c>
      <c r="E8" s="13" t="n">
        <v>0.8685344827586207</v>
      </c>
    </row>
    <row r="9" ht="22" customHeight="1">
      <c r="A9" s="6" t="n">
        <v>3</v>
      </c>
      <c r="B9" s="7" t="inlineStr">
        <is>
          <t>Khóa K22</t>
        </is>
      </c>
      <c r="C9" s="8" t="n">
        <v>469</v>
      </c>
      <c r="D9" s="8" t="n">
        <v>401</v>
      </c>
      <c r="E9" s="9" t="n">
        <v>0.8550106609808102</v>
      </c>
    </row>
    <row r="10" ht="24" customHeight="1">
      <c r="A10" s="14" t="inlineStr">
        <is>
          <t>💡 Cách tính: Tỷ lệ tốt nghiệp đúng hạn = Số sinh viên tốt nghiệp tại kỳ thứ 8 / Tổng sĩ số sinh viên của khóa.</t>
        </is>
      </c>
    </row>
    <row r="12" ht="26" customHeight="1">
      <c r="A12" s="4" t="inlineStr">
        <is>
          <t>II. BẢNG 2: TỶ LỆ ĐIỂM &amp; XẾP LOẠI CỦA SINH VIÊN ĐÃ TỐT NGHIỆP (KHÓA K20, K21, K22)</t>
        </is>
      </c>
    </row>
    <row r="13" ht="28" customHeight="1">
      <c r="A13" s="5" t="inlineStr">
        <is>
          <t>STT</t>
        </is>
      </c>
      <c r="B13" s="5" t="inlineStr">
        <is>
          <t>Khóa học</t>
        </is>
      </c>
      <c r="C13" s="5" t="inlineStr">
        <is>
          <t>GPA TB (Hệ 10)</t>
        </is>
      </c>
      <c r="D13" s="5" t="inlineStr">
        <is>
          <t>CPA TB (Hệ 4)</t>
        </is>
      </c>
      <c r="E13" s="5" t="inlineStr">
        <is>
          <t>Xuất sắc (&gt;= 3.6)</t>
        </is>
      </c>
      <c r="F13" s="5" t="inlineStr">
        <is>
          <t>Giỏi (3.2 - 3.59)</t>
        </is>
      </c>
      <c r="G13" s="5" t="inlineStr">
        <is>
          <t>Khá (2.8 - 3.19)</t>
        </is>
      </c>
      <c r="H13" s="5" t="inlineStr">
        <is>
          <t>TB Khá (2.4 - 2.79)</t>
        </is>
      </c>
      <c r="I13" s="5" t="inlineStr">
        <is>
          <t>Trung bình (2.0 - 2.39)</t>
        </is>
      </c>
      <c r="J13" s="5" t="inlineStr">
        <is>
          <t>Dưới TB (&lt; 2.0)</t>
        </is>
      </c>
    </row>
    <row r="14" ht="22" customHeight="1">
      <c r="A14" s="10" t="n">
        <v>1</v>
      </c>
      <c r="B14" s="11" t="inlineStr">
        <is>
          <t>Khóa K20</t>
        </is>
      </c>
      <c r="C14" s="15" t="n">
        <v>7.320655430711611</v>
      </c>
      <c r="D14" s="15" t="n">
        <v>2.909794007490636</v>
      </c>
      <c r="E14" s="16" t="n">
        <v>0.1213483146067416</v>
      </c>
      <c r="F14" s="16" t="n">
        <v>0.2247191011235955</v>
      </c>
      <c r="G14" s="16" t="n">
        <v>0.2651685393258427</v>
      </c>
      <c r="H14" s="16" t="n">
        <v>0.09662921348314607</v>
      </c>
      <c r="I14" s="16" t="n">
        <v>0.2921348314606741</v>
      </c>
      <c r="J14" s="16" t="n">
        <v>0</v>
      </c>
    </row>
    <row r="15" ht="22" customHeight="1">
      <c r="A15" s="6" t="n">
        <v>2</v>
      </c>
      <c r="B15" s="7" t="inlineStr">
        <is>
          <t>Khóa K21</t>
        </is>
      </c>
      <c r="C15" s="17" t="n">
        <v>7.166383181126332</v>
      </c>
      <c r="D15" s="17" t="n">
        <v>2.815848554033486</v>
      </c>
      <c r="E15" s="18" t="n">
        <v>0.1073059360730594</v>
      </c>
      <c r="F15" s="18" t="n">
        <v>0.0776255707762557</v>
      </c>
      <c r="G15" s="18" t="n">
        <v>0.4200913242009132</v>
      </c>
      <c r="H15" s="18" t="n">
        <v>0.05707762557077625</v>
      </c>
      <c r="I15" s="18" t="n">
        <v>0.3378995433789954</v>
      </c>
      <c r="J15" s="18" t="n">
        <v>0</v>
      </c>
    </row>
    <row r="16" ht="22" customHeight="1">
      <c r="A16" s="10" t="n">
        <v>3</v>
      </c>
      <c r="B16" s="11" t="inlineStr">
        <is>
          <t>Khóa K22</t>
        </is>
      </c>
      <c r="C16" s="15" t="n">
        <v>7.576694577352472</v>
      </c>
      <c r="D16" s="15" t="n">
        <v>3.06966706539075</v>
      </c>
      <c r="E16" s="16" t="n">
        <v>0.1578947368421053</v>
      </c>
      <c r="F16" s="16" t="n">
        <v>0.3564593301435406</v>
      </c>
      <c r="G16" s="16" t="n">
        <v>0.1626794258373206</v>
      </c>
      <c r="H16" s="16" t="n">
        <v>0.1435406698564593</v>
      </c>
      <c r="I16" s="16" t="n">
        <v>0.1794258373205742</v>
      </c>
      <c r="J16" s="16" t="n">
        <v>0</v>
      </c>
    </row>
    <row r="17" ht="24" customHeight="1">
      <c r="A17" s="14" t="inlineStr">
        <is>
          <t>💡 Cách tính: GPA 10 = Điểm TB tích lũy hệ 10; CPA 4 = Điểm TB tích lũy thang 4; Tỷ lệ xếp loại = Số SV tốt nghiệp theo từng mức điểm CPA / Tổng số SV tốt nghiệp của khóa.</t>
        </is>
      </c>
    </row>
    <row r="44" ht="26" customHeight="1">
      <c r="A44" s="4" t="inlineStr">
        <is>
          <t>III. BẢNG 3: TỶ LỆ BỎ HỌC TỪNG KHÓA (KHÓA K20 ĐẾN K26)</t>
        </is>
      </c>
    </row>
    <row r="45" ht="28" customHeight="1">
      <c r="A45" s="5" t="inlineStr">
        <is>
          <t>STT</t>
        </is>
      </c>
      <c r="B45" s="5" t="inlineStr">
        <is>
          <t>Khóa học</t>
        </is>
      </c>
      <c r="C45" s="5" t="inlineStr">
        <is>
          <t>Sĩ số tuyển sinh (SV)</t>
        </is>
      </c>
      <c r="D45" s="5" t="inlineStr">
        <is>
          <t>Sinh viên bỏ học (SV)</t>
        </is>
      </c>
      <c r="E45" s="5" t="inlineStr">
        <is>
          <t>Tỷ lệ bỏ học (%)</t>
        </is>
      </c>
    </row>
    <row r="46" ht="22" customHeight="1">
      <c r="A46" s="10" t="n">
        <v>1</v>
      </c>
      <c r="B46" s="11" t="inlineStr">
        <is>
          <t>Khóa K20</t>
        </is>
      </c>
      <c r="C46" s="12" t="n">
        <v>466</v>
      </c>
      <c r="D46" s="12" t="n">
        <v>21</v>
      </c>
      <c r="E46" s="13" t="n">
        <v>0.04506437768240344</v>
      </c>
    </row>
    <row r="47" ht="22" customHeight="1">
      <c r="A47" s="6" t="n">
        <v>2</v>
      </c>
      <c r="B47" s="7" t="inlineStr">
        <is>
          <t>Khóa K21</t>
        </is>
      </c>
      <c r="C47" s="8" t="n">
        <v>464</v>
      </c>
      <c r="D47" s="8" t="n">
        <v>0</v>
      </c>
      <c r="E47" s="9" t="n">
        <v>0</v>
      </c>
    </row>
    <row r="48" ht="22" customHeight="1">
      <c r="A48" s="10" t="n">
        <v>3</v>
      </c>
      <c r="B48" s="11" t="inlineStr">
        <is>
          <t>Khóa K22</t>
        </is>
      </c>
      <c r="C48" s="12" t="n">
        <v>469</v>
      </c>
      <c r="D48" s="12" t="n">
        <v>0</v>
      </c>
      <c r="E48" s="13" t="n">
        <v>0</v>
      </c>
    </row>
    <row r="49" ht="22" customHeight="1">
      <c r="A49" s="6" t="n">
        <v>4</v>
      </c>
      <c r="B49" s="7" t="inlineStr">
        <is>
          <t>Khóa K23</t>
        </is>
      </c>
      <c r="C49" s="8" t="n">
        <v>435</v>
      </c>
      <c r="D49" s="8" t="n">
        <v>0</v>
      </c>
      <c r="E49" s="9" t="n">
        <v>0</v>
      </c>
    </row>
    <row r="50" ht="22" customHeight="1">
      <c r="A50" s="10" t="n">
        <v>5</v>
      </c>
      <c r="B50" s="11" t="inlineStr">
        <is>
          <t>Khóa K24</t>
        </is>
      </c>
      <c r="C50" s="12" t="n">
        <v>476</v>
      </c>
      <c r="D50" s="12" t="n">
        <v>0</v>
      </c>
      <c r="E50" s="13" t="n">
        <v>0</v>
      </c>
    </row>
    <row r="51" ht="22" customHeight="1">
      <c r="A51" s="6" t="n">
        <v>6</v>
      </c>
      <c r="B51" s="7" t="inlineStr">
        <is>
          <t>Khóa K25</t>
        </is>
      </c>
      <c r="C51" s="8" t="n">
        <v>491</v>
      </c>
      <c r="D51" s="8" t="n">
        <v>0</v>
      </c>
      <c r="E51" s="9" t="n">
        <v>0</v>
      </c>
    </row>
    <row r="52" ht="22" customHeight="1">
      <c r="A52" s="10" t="n">
        <v>7</v>
      </c>
      <c r="B52" s="11" t="inlineStr">
        <is>
          <t>Khóa K26</t>
        </is>
      </c>
      <c r="C52" s="12" t="n">
        <v>476</v>
      </c>
      <c r="D52" s="12" t="n">
        <v>0</v>
      </c>
      <c r="E52" s="13" t="n">
        <v>0</v>
      </c>
    </row>
    <row r="53" ht="24" customHeight="1">
      <c r="A53" s="14" t="inlineStr">
        <is>
          <t>💡 Cách tính: Tỷ lệ bỏ học = Số sinh viên bỏ học (dropout = True) / Tổng sĩ số sinh viên của khóa.</t>
        </is>
      </c>
    </row>
  </sheetData>
  <mergeCells count="9">
    <mergeCell ref="A53:E53"/>
    <mergeCell ref="A1:J1"/>
    <mergeCell ref="A17:J17"/>
    <mergeCell ref="A10:E10"/>
    <mergeCell ref="A3:J3"/>
    <mergeCell ref="A12:J12"/>
    <mergeCell ref="A5:E5"/>
    <mergeCell ref="A2:J2"/>
    <mergeCell ref="A44:E44"/>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6" customWidth="1" min="1" max="1"/>
    <col width="16" customWidth="1" min="2" max="2"/>
    <col width="16" customWidth="1" min="3" max="3"/>
    <col width="15" customWidth="1" min="4" max="4"/>
    <col width="16" customWidth="1" min="5" max="5"/>
    <col width="16" customWidth="1" min="6" max="6"/>
    <col width="16" customWidth="1" min="7" max="7"/>
    <col width="16" customWidth="1" min="8" max="8"/>
    <col width="16" customWidth="1" min="9" max="9"/>
    <col width="16" customWidth="1" min="10" max="10"/>
  </cols>
  <sheetData>
    <row r="1" ht="32" customHeight="1">
      <c r="A1" s="1" t="inlineStr">
        <is>
          <t>BÁO CÁO HỌC VỤ TỔNG QUAN DỮ LIỆU MÔ PHỎNG - CHƯƠNG TRÌNH TIÊN TIẾN</t>
        </is>
      </c>
    </row>
    <row r="2" ht="24" customHeight="1">
      <c r="A2" s="2" t="inlineStr">
        <is>
          <t>Bối cảnh: Báo cáo tổng quan phân phối dữ liệu học vụ mô phỏng của sinh viên Hệ Tiên tiến tại ĐHBK, phục vụ nghiên cứu và huấn luyện mô hình Cảnh báo học vụ sớm (EWS).</t>
        </is>
      </c>
    </row>
    <row r="3" ht="22" customHeight="1">
      <c r="A3" s="3" t="inlineStr">
        <is>
          <t>BÁO CÁO HỌC VỤ: TIẾN ĐỘ TỐT NGHIỆP, XẾP LOẠI ĐIỂM &amp; TỶ LỆ BỎ HỌC (K20 - K26) | Quy mô: 1,071 SV (9.7% toàn trường)</t>
        </is>
      </c>
    </row>
    <row r="5" ht="26" customHeight="1">
      <c r="A5" s="4" t="inlineStr">
        <is>
          <t>I. BẢNG 1: TỶ LỆ TỐT NGHIỆP ĐÚNG HẠN (KHÓA K20, K21, K22)</t>
        </is>
      </c>
    </row>
    <row r="6" ht="28" customHeight="1">
      <c r="A6" s="5" t="inlineStr">
        <is>
          <t>STT</t>
        </is>
      </c>
      <c r="B6" s="5" t="inlineStr">
        <is>
          <t>Khóa học</t>
        </is>
      </c>
      <c r="C6" s="5" t="inlineStr">
        <is>
          <t>Sĩ số tuyển sinh (SV)</t>
        </is>
      </c>
      <c r="D6" s="5" t="inlineStr">
        <is>
          <t>Tốt nghiệp đúng hạn (4.0 năm)</t>
        </is>
      </c>
      <c r="E6" s="5" t="inlineStr">
        <is>
          <t>Tỷ lệ đúng hạn (%)</t>
        </is>
      </c>
    </row>
    <row r="7" ht="22" customHeight="1">
      <c r="A7" s="6" t="n">
        <v>1</v>
      </c>
      <c r="B7" s="7" t="inlineStr">
        <is>
          <t>Khóa K20</t>
        </is>
      </c>
      <c r="C7" s="8" t="n">
        <v>140</v>
      </c>
      <c r="D7" s="8" t="n">
        <v>134</v>
      </c>
      <c r="E7" s="9" t="n">
        <v>0.9571428571428572</v>
      </c>
    </row>
    <row r="8" ht="22" customHeight="1">
      <c r="A8" s="10" t="n">
        <v>2</v>
      </c>
      <c r="B8" s="11" t="inlineStr">
        <is>
          <t>Khóa K21</t>
        </is>
      </c>
      <c r="C8" s="12" t="n">
        <v>153</v>
      </c>
      <c r="D8" s="12" t="n">
        <v>147</v>
      </c>
      <c r="E8" s="13" t="n">
        <v>0.9607843137254902</v>
      </c>
    </row>
    <row r="9" ht="22" customHeight="1">
      <c r="A9" s="6" t="n">
        <v>3</v>
      </c>
      <c r="B9" s="7" t="inlineStr">
        <is>
          <t>Khóa K22</t>
        </is>
      </c>
      <c r="C9" s="8" t="n">
        <v>157</v>
      </c>
      <c r="D9" s="8" t="n">
        <v>136</v>
      </c>
      <c r="E9" s="9" t="n">
        <v>0.8662420382165605</v>
      </c>
    </row>
    <row r="10" ht="24" customHeight="1">
      <c r="A10" s="14" t="inlineStr">
        <is>
          <t>💡 Cách tính: Tỷ lệ tốt nghiệp đúng hạn = Số sinh viên tốt nghiệp tại kỳ thứ 8 / Tổng sĩ số sinh viên của khóa.</t>
        </is>
      </c>
    </row>
    <row r="12" ht="26" customHeight="1">
      <c r="A12" s="4" t="inlineStr">
        <is>
          <t>II. BẢNG 2: TỶ LỆ ĐIỂM &amp; XẾP LOẠI CỦA SINH VIÊN ĐÃ TỐT NGHIỆP (KHÓA K20, K21, K22)</t>
        </is>
      </c>
    </row>
    <row r="13" ht="28" customHeight="1">
      <c r="A13" s="5" t="inlineStr">
        <is>
          <t>STT</t>
        </is>
      </c>
      <c r="B13" s="5" t="inlineStr">
        <is>
          <t>Khóa học</t>
        </is>
      </c>
      <c r="C13" s="5" t="inlineStr">
        <is>
          <t>GPA TB (Hệ 10)</t>
        </is>
      </c>
      <c r="D13" s="5" t="inlineStr">
        <is>
          <t>CPA TB (Hệ 4)</t>
        </is>
      </c>
      <c r="E13" s="5" t="inlineStr">
        <is>
          <t>Xuất sắc (&gt;= 3.6)</t>
        </is>
      </c>
      <c r="F13" s="5" t="inlineStr">
        <is>
          <t>Giỏi (3.2 - 3.59)</t>
        </is>
      </c>
      <c r="G13" s="5" t="inlineStr">
        <is>
          <t>Khá (2.8 - 3.19)</t>
        </is>
      </c>
      <c r="H13" s="5" t="inlineStr">
        <is>
          <t>TB Khá (2.4 - 2.79)</t>
        </is>
      </c>
      <c r="I13" s="5" t="inlineStr">
        <is>
          <t>Trung bình (2.0 - 2.39)</t>
        </is>
      </c>
      <c r="J13" s="5" t="inlineStr">
        <is>
          <t>Dưới TB (&lt; 2.0)</t>
        </is>
      </c>
    </row>
    <row r="14" ht="22" customHeight="1">
      <c r="A14" s="10" t="n">
        <v>1</v>
      </c>
      <c r="B14" s="11" t="inlineStr">
        <is>
          <t>Khóa K20</t>
        </is>
      </c>
      <c r="C14" s="15" t="n">
        <v>7.745328467153286</v>
      </c>
      <c r="D14" s="15" t="n">
        <v>3.179470802919708</v>
      </c>
      <c r="E14" s="16" t="n">
        <v>0.2554744525547445</v>
      </c>
      <c r="F14" s="16" t="n">
        <v>0.2408759124087591</v>
      </c>
      <c r="G14" s="16" t="n">
        <v>0.2992700729927008</v>
      </c>
      <c r="H14" s="16" t="n">
        <v>0.06569343065693431</v>
      </c>
      <c r="I14" s="16" t="n">
        <v>0.1386861313868613</v>
      </c>
      <c r="J14" s="16" t="n">
        <v>0</v>
      </c>
    </row>
    <row r="15" ht="22" customHeight="1">
      <c r="A15" s="6" t="n">
        <v>2</v>
      </c>
      <c r="B15" s="7" t="inlineStr">
        <is>
          <t>Khóa K21</t>
        </is>
      </c>
      <c r="C15" s="17" t="n">
        <v>7.66858843537415</v>
      </c>
      <c r="D15" s="17" t="n">
        <v>3.139569160997732</v>
      </c>
      <c r="E15" s="18" t="n">
        <v>0.2380952380952381</v>
      </c>
      <c r="F15" s="18" t="n">
        <v>0.09523809523809523</v>
      </c>
      <c r="G15" s="18" t="n">
        <v>0.5102040816326531</v>
      </c>
      <c r="H15" s="18" t="n">
        <v>0.06802721088435375</v>
      </c>
      <c r="I15" s="18" t="n">
        <v>0.08843537414965986</v>
      </c>
      <c r="J15" s="18" t="n">
        <v>0</v>
      </c>
    </row>
    <row r="16" ht="22" customHeight="1">
      <c r="A16" s="10" t="n">
        <v>3</v>
      </c>
      <c r="B16" s="11" t="inlineStr">
        <is>
          <t>Khóa K22</t>
        </is>
      </c>
      <c r="C16" s="15" t="n">
        <v>7.826038647342995</v>
      </c>
      <c r="D16" s="15" t="n">
        <v>3.223037439613526</v>
      </c>
      <c r="E16" s="16" t="n">
        <v>0.1884057971014493</v>
      </c>
      <c r="F16" s="16" t="n">
        <v>0.4565217391304348</v>
      </c>
      <c r="G16" s="16" t="n">
        <v>0.1594202898550725</v>
      </c>
      <c r="H16" s="16" t="n">
        <v>0.1014492753623188</v>
      </c>
      <c r="I16" s="16" t="n">
        <v>0.09420289855072464</v>
      </c>
      <c r="J16" s="16" t="n">
        <v>0</v>
      </c>
    </row>
    <row r="17" ht="24" customHeight="1">
      <c r="A17" s="14" t="inlineStr">
        <is>
          <t>💡 Cách tính: GPA 10 = Điểm TB tích lũy hệ 10; CPA 4 = Điểm TB tích lũy thang 4; Tỷ lệ xếp loại = Số SV tốt nghiệp theo từng mức điểm CPA / Tổng số SV tốt nghiệp của khóa.</t>
        </is>
      </c>
    </row>
    <row r="44" ht="26" customHeight="1">
      <c r="A44" s="4" t="inlineStr">
        <is>
          <t>III. BẢNG 3: TỶ LỆ BỎ HỌC TỪNG KHÓA (KHÓA K20 ĐẾN K26)</t>
        </is>
      </c>
    </row>
    <row r="45" ht="28" customHeight="1">
      <c r="A45" s="5" t="inlineStr">
        <is>
          <t>STT</t>
        </is>
      </c>
      <c r="B45" s="5" t="inlineStr">
        <is>
          <t>Khóa học</t>
        </is>
      </c>
      <c r="C45" s="5" t="inlineStr">
        <is>
          <t>Sĩ số tuyển sinh (SV)</t>
        </is>
      </c>
      <c r="D45" s="5" t="inlineStr">
        <is>
          <t>Sinh viên bỏ học (SV)</t>
        </is>
      </c>
      <c r="E45" s="5" t="inlineStr">
        <is>
          <t>Tỷ lệ bỏ học (%)</t>
        </is>
      </c>
    </row>
    <row r="46" ht="22" customHeight="1">
      <c r="A46" s="10" t="n">
        <v>1</v>
      </c>
      <c r="B46" s="11" t="inlineStr">
        <is>
          <t>Khóa K20</t>
        </is>
      </c>
      <c r="C46" s="12" t="n">
        <v>140</v>
      </c>
      <c r="D46" s="12" t="n">
        <v>3</v>
      </c>
      <c r="E46" s="13" t="n">
        <v>0.02142857142857143</v>
      </c>
    </row>
    <row r="47" ht="22" customHeight="1">
      <c r="A47" s="6" t="n">
        <v>2</v>
      </c>
      <c r="B47" s="7" t="inlineStr">
        <is>
          <t>Khóa K21</t>
        </is>
      </c>
      <c r="C47" s="8" t="n">
        <v>153</v>
      </c>
      <c r="D47" s="8" t="n">
        <v>0</v>
      </c>
      <c r="E47" s="9" t="n">
        <v>0</v>
      </c>
    </row>
    <row r="48" ht="22" customHeight="1">
      <c r="A48" s="10" t="n">
        <v>3</v>
      </c>
      <c r="B48" s="11" t="inlineStr">
        <is>
          <t>Khóa K22</t>
        </is>
      </c>
      <c r="C48" s="12" t="n">
        <v>157</v>
      </c>
      <c r="D48" s="12" t="n">
        <v>0</v>
      </c>
      <c r="E48" s="13" t="n">
        <v>0</v>
      </c>
    </row>
    <row r="49" ht="22" customHeight="1">
      <c r="A49" s="6" t="n">
        <v>4</v>
      </c>
      <c r="B49" s="7" t="inlineStr">
        <is>
          <t>Khóa K23</t>
        </is>
      </c>
      <c r="C49" s="8" t="n">
        <v>157</v>
      </c>
      <c r="D49" s="8" t="n">
        <v>0</v>
      </c>
      <c r="E49" s="9" t="n">
        <v>0</v>
      </c>
    </row>
    <row r="50" ht="22" customHeight="1">
      <c r="A50" s="10" t="n">
        <v>5</v>
      </c>
      <c r="B50" s="11" t="inlineStr">
        <is>
          <t>Khóa K24</t>
        </is>
      </c>
      <c r="C50" s="12" t="n">
        <v>162</v>
      </c>
      <c r="D50" s="12" t="n">
        <v>0</v>
      </c>
      <c r="E50" s="13" t="n">
        <v>0</v>
      </c>
    </row>
    <row r="51" ht="22" customHeight="1">
      <c r="A51" s="6" t="n">
        <v>6</v>
      </c>
      <c r="B51" s="7" t="inlineStr">
        <is>
          <t>Khóa K25</t>
        </is>
      </c>
      <c r="C51" s="8" t="n">
        <v>158</v>
      </c>
      <c r="D51" s="8" t="n">
        <v>0</v>
      </c>
      <c r="E51" s="9" t="n">
        <v>0</v>
      </c>
    </row>
    <row r="52" ht="22" customHeight="1">
      <c r="A52" s="10" t="n">
        <v>7</v>
      </c>
      <c r="B52" s="11" t="inlineStr">
        <is>
          <t>Khóa K26</t>
        </is>
      </c>
      <c r="C52" s="12" t="n">
        <v>144</v>
      </c>
      <c r="D52" s="12" t="n">
        <v>0</v>
      </c>
      <c r="E52" s="13" t="n">
        <v>0</v>
      </c>
    </row>
    <row r="53" ht="24" customHeight="1">
      <c r="A53" s="14" t="inlineStr">
        <is>
          <t>💡 Cách tính: Tỷ lệ bỏ học = Số sinh viên bỏ học (dropout = True) / Tổng sĩ số sinh viên của khóa.</t>
        </is>
      </c>
    </row>
  </sheetData>
  <mergeCells count="9">
    <mergeCell ref="A53:E53"/>
    <mergeCell ref="A1:J1"/>
    <mergeCell ref="A17:J17"/>
    <mergeCell ref="A10:E10"/>
    <mergeCell ref="A3:J3"/>
    <mergeCell ref="A12:J12"/>
    <mergeCell ref="A5:E5"/>
    <mergeCell ref="A2:J2"/>
    <mergeCell ref="A44:E4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2026-10-29T14:46:56Z</dcterms:created>
  <dcterms:modified xsi:type="dcterms:W3CDTF">2026-10-29T14:46:56Z</dcterms:modified>
</cp:coreProperties>
</file>